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EAD Matrix" sheetId="1" state="visible" r:id="rId3"/>
    <sheet name="Table 3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3" authorId="0">
      <text>
        <r>
          <rPr>
            <sz val="10"/>
            <rFont val="Arial"/>
            <family val="2"/>
          </rPr>
          <t xml:space="preserve">No "Likelihood Of Exploit" section on the CWE page, so the default score of 10 is used per the instructions.</t>
        </r>
      </text>
    </comment>
  </commentList>
</comments>
</file>

<file path=xl/sharedStrings.xml><?xml version="1.0" encoding="utf-8"?>
<sst xmlns="http://schemas.openxmlformats.org/spreadsheetml/2006/main" count="192" uniqueCount="75">
  <si>
    <t xml:space="preserve">Brew &amp; Bloom Coffee Co. Ordering App — Vulnerability Ranking &amp; Prioritization (DREAD)</t>
  </si>
  <si>
    <t xml:space="preserve">Overall Risk = Scoring Weight × Probability × Impact;  Probability = R + E + D(iscoverability);  Impact = Damage Potential + Affected Users</t>
  </si>
  <si>
    <t xml:space="preserve">Vulnerability</t>
  </si>
  <si>
    <t xml:space="preserve">Scoring Weight</t>
  </si>
  <si>
    <t xml:space="preserve">Damage Potential</t>
  </si>
  <si>
    <t xml:space="preserve">Reproducibility</t>
  </si>
  <si>
    <t xml:space="preserve">Exploitability</t>
  </si>
  <si>
    <t xml:space="preserve">Affected Users</t>
  </si>
  <si>
    <t xml:space="preserve">Discoverability</t>
  </si>
  <si>
    <t xml:space="preserve">Probability</t>
  </si>
  <si>
    <t xml:space="preserve">Impact</t>
  </si>
  <si>
    <t xml:space="preserve">Overall Risk</t>
  </si>
  <si>
    <t xml:space="preserve">Rank</t>
  </si>
  <si>
    <t xml:space="preserve">CWE-20: Improper Input Validation</t>
  </si>
  <si>
    <t xml:space="preserve">CWE-22: Improper Limitation of a Pathname to a Restricted Directory ('Path Traversal')</t>
  </si>
  <si>
    <t xml:space="preserve">CWE-77: Improper Neutralization of Special Elements used in a Command ('Command Injection')</t>
  </si>
  <si>
    <t xml:space="preserve">CWE-78: Improper Neutralization of Special Elements used in an OS Command ('OS Command Injection')</t>
  </si>
  <si>
    <t xml:space="preserve">CWE-79: Improper Neutralization of Input During Web Page Generation ('Cross-site Scripting')</t>
  </si>
  <si>
    <t xml:space="preserve">CWE-89: Improper Neutralization of Special Elements used in an SQL Command ('SQL Injection')</t>
  </si>
  <si>
    <t xml:space="preserve">CWE-94: Improper Control of Generation of Code ('Code Injection')</t>
  </si>
  <si>
    <t xml:space="preserve">CWE-200: Exposure of Sensitive Information to an Unauthorized Actor</t>
  </si>
  <si>
    <t xml:space="preserve">CWE-269: Improper Privilege Management</t>
  </si>
  <si>
    <t xml:space="preserve">CWE-287: Improper Authentication</t>
  </si>
  <si>
    <t xml:space="preserve">CWE-306: Missing Authentication for Critical Function</t>
  </si>
  <si>
    <t xml:space="preserve">CWE-352: Cross-Site Request Forgery (CSRF)</t>
  </si>
  <si>
    <t xml:space="preserve">CWE-400: Uncontrolled Resource Consumption</t>
  </si>
  <si>
    <t xml:space="preserve">CWE-434: Unrestricted Upload of File with Dangerous Type</t>
  </si>
  <si>
    <t xml:space="preserve">CWE-502: Deserialization of Untrusted Data</t>
  </si>
  <si>
    <t xml:space="preserve">CWE-798: Use of Hard-coded Credentials</t>
  </si>
  <si>
    <t xml:space="preserve">CWE-862: Missing Authorization</t>
  </si>
  <si>
    <t xml:space="preserve">CWE-863: Incorrect Authorization</t>
  </si>
  <si>
    <t xml:space="preserve">CWE-918: Server-Side Request Forgery (SSRF)</t>
  </si>
  <si>
    <t xml:space="preserve">Notes</t>
  </si>
  <si>
    <t xml:space="preserve">Values from cwe.mitre.org (CWE List v4.20). Scoring Weight is linked from the Table 3 Mapping sheet.</t>
  </si>
  <si>
    <t xml:space="preserve">CWE-918 has no "Likelihood Of Exploit" entry, so Exploitability = 10 per the instructions.</t>
  </si>
  <si>
    <t xml:space="preserve">Table 3 (p.8) Threat-to-CWE mapping. Scoring Weight = number of checks in each CWE column.</t>
  </si>
  <si>
    <t xml:space="preserve">Threat ID</t>
  </si>
  <si>
    <t xml:space="preserve">CWE-20</t>
  </si>
  <si>
    <t xml:space="preserve">CWE-22</t>
  </si>
  <si>
    <t xml:space="preserve">CWE-77</t>
  </si>
  <si>
    <t xml:space="preserve">CWE-78</t>
  </si>
  <si>
    <t xml:space="preserve">CWE-79</t>
  </si>
  <si>
    <t xml:space="preserve">CWE-89</t>
  </si>
  <si>
    <t xml:space="preserve">CWE-94</t>
  </si>
  <si>
    <t xml:space="preserve">CWE-200</t>
  </si>
  <si>
    <t xml:space="preserve">CWE-269</t>
  </si>
  <si>
    <t xml:space="preserve">CWE-287</t>
  </si>
  <si>
    <t xml:space="preserve">CWE-306</t>
  </si>
  <si>
    <t xml:space="preserve">CWE-352</t>
  </si>
  <si>
    <t xml:space="preserve">CWE-400</t>
  </si>
  <si>
    <t xml:space="preserve">CWE-434</t>
  </si>
  <si>
    <t xml:space="preserve">CWE-502</t>
  </si>
  <si>
    <t xml:space="preserve">CWE-798</t>
  </si>
  <si>
    <t xml:space="preserve">CWE-862</t>
  </si>
  <si>
    <t xml:space="preserve">CWE-863</t>
  </si>
  <si>
    <t xml:space="preserve">CWE-918</t>
  </si>
  <si>
    <t xml:space="preserve">T-001</t>
  </si>
  <si>
    <t xml:space="preserve">✓</t>
  </si>
  <si>
    <t xml:space="preserve">T-002</t>
  </si>
  <si>
    <t xml:space="preserve">T-003</t>
  </si>
  <si>
    <t xml:space="preserve">T-004</t>
  </si>
  <si>
    <t xml:space="preserve">T-005</t>
  </si>
  <si>
    <t xml:space="preserve">T-006</t>
  </si>
  <si>
    <t xml:space="preserve">T-007</t>
  </si>
  <si>
    <t xml:space="preserve">T-008</t>
  </si>
  <si>
    <t xml:space="preserve">T-009</t>
  </si>
  <si>
    <t xml:space="preserve">T-010</t>
  </si>
  <si>
    <t xml:space="preserve">T-011</t>
  </si>
  <si>
    <t xml:space="preserve">T-012</t>
  </si>
  <si>
    <t xml:space="preserve">T-013</t>
  </si>
  <si>
    <t xml:space="preserve">T-014</t>
  </si>
  <si>
    <t xml:space="preserve">T-015</t>
  </si>
  <si>
    <t xml:space="preserve">T-016</t>
  </si>
  <si>
    <t xml:space="preserve">T-017</t>
  </si>
  <si>
    <t xml:space="preserve">T-018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</si>
</sst>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1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f aca="false">'Table 3 Mapping'!B22</f>
        <v>11</v>
      </c>
      <c r="C5" s="6" t="n">
        <v>7</v>
      </c>
      <c r="D5" s="6" t="n">
        <v>43</v>
      </c>
      <c r="E5" s="6" t="n">
        <v>9</v>
      </c>
      <c r="F5" s="7" t="n">
        <f aca="false">C5</f>
        <v>7</v>
      </c>
      <c r="G5" s="6" t="n">
        <v>10</v>
      </c>
      <c r="H5" s="7" t="n">
        <f aca="false">D5+E5+G5</f>
        <v>62</v>
      </c>
      <c r="I5" s="7" t="n">
        <f aca="false">C5+F5</f>
        <v>14</v>
      </c>
      <c r="J5" s="7" t="n">
        <f aca="false">B5*H5*I5</f>
        <v>9548</v>
      </c>
      <c r="K5" s="7" t="n">
        <f aca="false">RANK(J5,$J$5:$J$23,0)</f>
        <v>2</v>
      </c>
    </row>
    <row r="6" customFormat="false" ht="26.85" hidden="false" customHeight="false" outlineLevel="0" collapsed="false">
      <c r="A6" s="8" t="s">
        <v>14</v>
      </c>
      <c r="B6" s="9" t="n">
        <f aca="false">'Table 3 Mapping'!C22</f>
        <v>5</v>
      </c>
      <c r="C6" s="10" t="n">
        <v>4</v>
      </c>
      <c r="D6" s="10" t="n">
        <v>23</v>
      </c>
      <c r="E6" s="10" t="n">
        <v>9</v>
      </c>
      <c r="F6" s="11" t="n">
        <f aca="false">C6</f>
        <v>4</v>
      </c>
      <c r="G6" s="10" t="n">
        <v>9</v>
      </c>
      <c r="H6" s="11" t="n">
        <f aca="false">D6+E6+G6</f>
        <v>41</v>
      </c>
      <c r="I6" s="11" t="n">
        <f aca="false">C6+F6</f>
        <v>8</v>
      </c>
      <c r="J6" s="11" t="n">
        <f aca="false">B6*H6*I6</f>
        <v>1640</v>
      </c>
      <c r="K6" s="11" t="n">
        <f aca="false">RANK(J6,$J$5:$J$23,0)</f>
        <v>7</v>
      </c>
    </row>
    <row r="7" customFormat="false" ht="26.85" hidden="false" customHeight="false" outlineLevel="0" collapsed="false">
      <c r="A7" s="4" t="s">
        <v>15</v>
      </c>
      <c r="B7" s="5" t="n">
        <f aca="false">'Table 3 Mapping'!D22</f>
        <v>4</v>
      </c>
      <c r="C7" s="6" t="n">
        <v>1</v>
      </c>
      <c r="D7" s="6" t="n">
        <v>9</v>
      </c>
      <c r="E7" s="6" t="n">
        <v>9</v>
      </c>
      <c r="F7" s="7" t="n">
        <f aca="false">C7</f>
        <v>1</v>
      </c>
      <c r="G7" s="6" t="n">
        <v>1</v>
      </c>
      <c r="H7" s="7" t="n">
        <f aca="false">D7+E7+G7</f>
        <v>19</v>
      </c>
      <c r="I7" s="7" t="n">
        <f aca="false">C7+F7</f>
        <v>2</v>
      </c>
      <c r="J7" s="7" t="n">
        <f aca="false">B7*H7*I7</f>
        <v>152</v>
      </c>
      <c r="K7" s="7" t="n">
        <f aca="false">RANK(J7,$J$5:$J$23,0)</f>
        <v>18</v>
      </c>
    </row>
    <row r="8" customFormat="false" ht="26.85" hidden="false" customHeight="false" outlineLevel="0" collapsed="false">
      <c r="A8" s="8" t="s">
        <v>16</v>
      </c>
      <c r="B8" s="9" t="n">
        <f aca="false">'Table 3 Mapping'!E22</f>
        <v>4</v>
      </c>
      <c r="C8" s="10" t="n">
        <v>7</v>
      </c>
      <c r="D8" s="10" t="n">
        <v>19</v>
      </c>
      <c r="E8" s="10" t="n">
        <v>9</v>
      </c>
      <c r="F8" s="11" t="n">
        <f aca="false">C8</f>
        <v>7</v>
      </c>
      <c r="G8" s="10" t="n">
        <v>9</v>
      </c>
      <c r="H8" s="11" t="n">
        <f aca="false">D8+E8+G8</f>
        <v>37</v>
      </c>
      <c r="I8" s="11" t="n">
        <f aca="false">C8+F8</f>
        <v>14</v>
      </c>
      <c r="J8" s="11" t="n">
        <f aca="false">B8*H8*I8</f>
        <v>2072</v>
      </c>
      <c r="K8" s="11" t="n">
        <f aca="false">RANK(J8,$J$5:$J$23,0)</f>
        <v>6</v>
      </c>
    </row>
    <row r="9" customFormat="false" ht="26.85" hidden="false" customHeight="false" outlineLevel="0" collapsed="false">
      <c r="A9" s="4" t="s">
        <v>17</v>
      </c>
      <c r="B9" s="5" t="n">
        <f aca="false">'Table 3 Mapping'!F22</f>
        <v>10</v>
      </c>
      <c r="C9" s="6" t="n">
        <v>6</v>
      </c>
      <c r="D9" s="6" t="n">
        <v>20</v>
      </c>
      <c r="E9" s="6" t="n">
        <v>9</v>
      </c>
      <c r="F9" s="7" t="n">
        <f aca="false">C9</f>
        <v>6</v>
      </c>
      <c r="G9" s="6" t="n">
        <v>2</v>
      </c>
      <c r="H9" s="7" t="n">
        <f aca="false">D9+E9+G9</f>
        <v>31</v>
      </c>
      <c r="I9" s="7" t="n">
        <f aca="false">C9+F9</f>
        <v>12</v>
      </c>
      <c r="J9" s="7" t="n">
        <f aca="false">B9*H9*I9</f>
        <v>3720</v>
      </c>
      <c r="K9" s="7" t="n">
        <f aca="false">RANK(J9,$J$5:$J$23,0)</f>
        <v>5</v>
      </c>
    </row>
    <row r="10" customFormat="false" ht="26.85" hidden="false" customHeight="false" outlineLevel="0" collapsed="false">
      <c r="A10" s="8" t="s">
        <v>18</v>
      </c>
      <c r="B10" s="9" t="n">
        <f aca="false">'Table 3 Mapping'!G22</f>
        <v>15</v>
      </c>
      <c r="C10" s="10" t="n">
        <v>6</v>
      </c>
      <c r="D10" s="10" t="n">
        <v>15</v>
      </c>
      <c r="E10" s="10" t="n">
        <v>9</v>
      </c>
      <c r="F10" s="11" t="n">
        <f aca="false">C10</f>
        <v>6</v>
      </c>
      <c r="G10" s="10" t="n">
        <v>9</v>
      </c>
      <c r="H10" s="11" t="n">
        <f aca="false">D10+E10+G10</f>
        <v>33</v>
      </c>
      <c r="I10" s="11" t="n">
        <f aca="false">C10+F10</f>
        <v>12</v>
      </c>
      <c r="J10" s="11" t="n">
        <f aca="false">B10*H10*I10</f>
        <v>5940</v>
      </c>
      <c r="K10" s="11" t="n">
        <f aca="false">RANK(J10,$J$5:$J$23,0)</f>
        <v>4</v>
      </c>
    </row>
    <row r="11" customFormat="false" ht="26.85" hidden="false" customHeight="false" outlineLevel="0" collapsed="false">
      <c r="A11" s="4" t="s">
        <v>19</v>
      </c>
      <c r="B11" s="5" t="n">
        <f aca="false">'Table 3 Mapping'!H22</f>
        <v>3</v>
      </c>
      <c r="C11" s="6" t="n">
        <v>4</v>
      </c>
      <c r="D11" s="6" t="n">
        <v>22</v>
      </c>
      <c r="E11" s="6" t="n">
        <v>5</v>
      </c>
      <c r="F11" s="7" t="n">
        <f aca="false">C11</f>
        <v>4</v>
      </c>
      <c r="G11" s="6" t="n">
        <v>1</v>
      </c>
      <c r="H11" s="7" t="n">
        <f aca="false">D11+E11+G11</f>
        <v>28</v>
      </c>
      <c r="I11" s="7" t="n">
        <f aca="false">C11+F11</f>
        <v>8</v>
      </c>
      <c r="J11" s="7" t="n">
        <f aca="false">B11*H11*I11</f>
        <v>672</v>
      </c>
      <c r="K11" s="7" t="n">
        <f aca="false">RANK(J11,$J$5:$J$23,0)</f>
        <v>12</v>
      </c>
    </row>
    <row r="12" customFormat="false" ht="26.85" hidden="false" customHeight="false" outlineLevel="0" collapsed="false">
      <c r="A12" s="8" t="s">
        <v>20</v>
      </c>
      <c r="B12" s="9" t="n">
        <f aca="false">'Table 3 Mapping'!I22</f>
        <v>4</v>
      </c>
      <c r="C12" s="10" t="n">
        <v>1</v>
      </c>
      <c r="D12" s="10" t="n">
        <v>19</v>
      </c>
      <c r="E12" s="10" t="n">
        <v>9</v>
      </c>
      <c r="F12" s="11" t="n">
        <f aca="false">C12</f>
        <v>1</v>
      </c>
      <c r="G12" s="10" t="n">
        <v>6</v>
      </c>
      <c r="H12" s="11" t="n">
        <f aca="false">D12+E12+G12</f>
        <v>34</v>
      </c>
      <c r="I12" s="11" t="n">
        <f aca="false">C12+F12</f>
        <v>2</v>
      </c>
      <c r="J12" s="11" t="n">
        <f aca="false">B12*H12*I12</f>
        <v>272</v>
      </c>
      <c r="K12" s="11" t="n">
        <f aca="false">RANK(J12,$J$5:$J$23,0)</f>
        <v>17</v>
      </c>
    </row>
    <row r="13" customFormat="false" ht="15" hidden="false" customHeight="false" outlineLevel="0" collapsed="false">
      <c r="A13" s="4" t="s">
        <v>21</v>
      </c>
      <c r="B13" s="5" t="n">
        <f aca="false">'Table 3 Mapping'!J22</f>
        <v>11</v>
      </c>
      <c r="C13" s="6" t="n">
        <v>1</v>
      </c>
      <c r="D13" s="6" t="n">
        <v>15</v>
      </c>
      <c r="E13" s="6" t="n">
        <v>5</v>
      </c>
      <c r="F13" s="7" t="n">
        <f aca="false">C13</f>
        <v>1</v>
      </c>
      <c r="G13" s="6" t="n">
        <v>1</v>
      </c>
      <c r="H13" s="7" t="n">
        <f aca="false">D13+E13+G13</f>
        <v>21</v>
      </c>
      <c r="I13" s="7" t="n">
        <f aca="false">C13+F13</f>
        <v>2</v>
      </c>
      <c r="J13" s="7" t="n">
        <f aca="false">B13*H13*I13</f>
        <v>462</v>
      </c>
      <c r="K13" s="7" t="n">
        <f aca="false">RANK(J13,$J$5:$J$23,0)</f>
        <v>15</v>
      </c>
    </row>
    <row r="14" customFormat="false" ht="15" hidden="false" customHeight="false" outlineLevel="0" collapsed="false">
      <c r="A14" s="8" t="s">
        <v>22</v>
      </c>
      <c r="B14" s="9" t="n">
        <f aca="false">'Table 3 Mapping'!K22</f>
        <v>4</v>
      </c>
      <c r="C14" s="10" t="n">
        <v>3</v>
      </c>
      <c r="D14" s="10" t="n">
        <v>33</v>
      </c>
      <c r="E14" s="10" t="n">
        <v>9</v>
      </c>
      <c r="F14" s="11" t="n">
        <f aca="false">C14</f>
        <v>3</v>
      </c>
      <c r="G14" s="10" t="n">
        <v>8</v>
      </c>
      <c r="H14" s="11" t="n">
        <f aca="false">D14+E14+G14</f>
        <v>50</v>
      </c>
      <c r="I14" s="11" t="n">
        <f aca="false">C14+F14</f>
        <v>6</v>
      </c>
      <c r="J14" s="11" t="n">
        <f aca="false">B14*H14*I14</f>
        <v>1200</v>
      </c>
      <c r="K14" s="11" t="n">
        <f aca="false">RANK(J14,$J$5:$J$23,0)</f>
        <v>8</v>
      </c>
    </row>
    <row r="15" customFormat="false" ht="15" hidden="false" customHeight="false" outlineLevel="0" collapsed="false">
      <c r="A15" s="4" t="s">
        <v>23</v>
      </c>
      <c r="B15" s="5" t="n">
        <f aca="false">'Table 3 Mapping'!L22</f>
        <v>4</v>
      </c>
      <c r="C15" s="6" t="n">
        <v>2</v>
      </c>
      <c r="D15" s="6" t="n">
        <v>17</v>
      </c>
      <c r="E15" s="6" t="n">
        <v>9</v>
      </c>
      <c r="F15" s="7" t="n">
        <f aca="false">C15</f>
        <v>2</v>
      </c>
      <c r="G15" s="6" t="n">
        <v>8</v>
      </c>
      <c r="H15" s="7" t="n">
        <f aca="false">D15+E15+G15</f>
        <v>34</v>
      </c>
      <c r="I15" s="7" t="n">
        <f aca="false">C15+F15</f>
        <v>4</v>
      </c>
      <c r="J15" s="7" t="n">
        <f aca="false">B15*H15*I15</f>
        <v>544</v>
      </c>
      <c r="K15" s="7" t="n">
        <f aca="false">RANK(J15,$J$5:$J$23,0)</f>
        <v>13</v>
      </c>
    </row>
    <row r="16" customFormat="false" ht="15" hidden="false" customHeight="false" outlineLevel="0" collapsed="false">
      <c r="A16" s="8" t="s">
        <v>24</v>
      </c>
      <c r="B16" s="9" t="n">
        <f aca="false">'Table 3 Mapping'!M22</f>
        <v>3</v>
      </c>
      <c r="C16" s="10" t="n">
        <v>5</v>
      </c>
      <c r="D16" s="10" t="n">
        <v>10</v>
      </c>
      <c r="E16" s="10" t="n">
        <v>5</v>
      </c>
      <c r="F16" s="11" t="n">
        <f aca="false">C16</f>
        <v>5</v>
      </c>
      <c r="G16" s="10" t="n">
        <v>9</v>
      </c>
      <c r="H16" s="11" t="n">
        <f aca="false">D16+E16+G16</f>
        <v>24</v>
      </c>
      <c r="I16" s="11" t="n">
        <f aca="false">C16+F16</f>
        <v>10</v>
      </c>
      <c r="J16" s="11" t="n">
        <f aca="false">B16*H16*I16</f>
        <v>720</v>
      </c>
      <c r="K16" s="11" t="n">
        <f aca="false">RANK(J16,$J$5:$J$23,0)</f>
        <v>10</v>
      </c>
    </row>
    <row r="17" customFormat="false" ht="15" hidden="false" customHeight="false" outlineLevel="0" collapsed="false">
      <c r="A17" s="4" t="s">
        <v>25</v>
      </c>
      <c r="B17" s="5" t="n">
        <f aca="false">'Table 3 Mapping'!N22</f>
        <v>2</v>
      </c>
      <c r="C17" s="6" t="n">
        <v>6</v>
      </c>
      <c r="D17" s="6" t="n">
        <v>17</v>
      </c>
      <c r="E17" s="6" t="n">
        <v>9</v>
      </c>
      <c r="F17" s="7" t="n">
        <f aca="false">C17</f>
        <v>6</v>
      </c>
      <c r="G17" s="6" t="n">
        <v>3</v>
      </c>
      <c r="H17" s="7" t="n">
        <f aca="false">D17+E17+G17</f>
        <v>29</v>
      </c>
      <c r="I17" s="7" t="n">
        <f aca="false">C17+F17</f>
        <v>12</v>
      </c>
      <c r="J17" s="7" t="n">
        <f aca="false">B17*H17*I17</f>
        <v>696</v>
      </c>
      <c r="K17" s="7" t="n">
        <f aca="false">RANK(J17,$J$5:$J$23,0)</f>
        <v>11</v>
      </c>
    </row>
    <row r="18" customFormat="false" ht="15" hidden="false" customHeight="false" outlineLevel="0" collapsed="false">
      <c r="A18" s="8" t="s">
        <v>26</v>
      </c>
      <c r="B18" s="9" t="n">
        <f aca="false">'Table 3 Mapping'!O22</f>
        <v>3</v>
      </c>
      <c r="C18" s="10" t="n">
        <v>1</v>
      </c>
      <c r="D18" s="10" t="n">
        <v>11</v>
      </c>
      <c r="E18" s="10" t="n">
        <v>5</v>
      </c>
      <c r="F18" s="11" t="n">
        <f aca="false">C18</f>
        <v>1</v>
      </c>
      <c r="G18" s="10" t="n">
        <v>5</v>
      </c>
      <c r="H18" s="11" t="n">
        <f aca="false">D18+E18+G18</f>
        <v>21</v>
      </c>
      <c r="I18" s="11" t="n">
        <f aca="false">C18+F18</f>
        <v>2</v>
      </c>
      <c r="J18" s="11" t="n">
        <f aca="false">B18*H18*I18</f>
        <v>126</v>
      </c>
      <c r="K18" s="11" t="n">
        <f aca="false">RANK(J18,$J$5:$J$23,0)</f>
        <v>19</v>
      </c>
    </row>
    <row r="19" customFormat="false" ht="15" hidden="false" customHeight="false" outlineLevel="0" collapsed="false">
      <c r="A19" s="4" t="s">
        <v>27</v>
      </c>
      <c r="B19" s="5" t="n">
        <f aca="false">'Table 3 Mapping'!P22</f>
        <v>3</v>
      </c>
      <c r="C19" s="6" t="n">
        <v>4</v>
      </c>
      <c r="D19" s="6" t="n">
        <v>13</v>
      </c>
      <c r="E19" s="6" t="n">
        <v>5</v>
      </c>
      <c r="F19" s="7" t="n">
        <f aca="false">C19</f>
        <v>4</v>
      </c>
      <c r="G19" s="6" t="n">
        <v>1</v>
      </c>
      <c r="H19" s="7" t="n">
        <f aca="false">D19+E19+G19</f>
        <v>19</v>
      </c>
      <c r="I19" s="7" t="n">
        <f aca="false">C19+F19</f>
        <v>8</v>
      </c>
      <c r="J19" s="7" t="n">
        <f aca="false">B19*H19*I19</f>
        <v>456</v>
      </c>
      <c r="K19" s="7" t="n">
        <f aca="false">RANK(J19,$J$5:$J$23,0)</f>
        <v>16</v>
      </c>
    </row>
    <row r="20" customFormat="false" ht="15" hidden="false" customHeight="false" outlineLevel="0" collapsed="false">
      <c r="A20" s="8" t="s">
        <v>28</v>
      </c>
      <c r="B20" s="9" t="n">
        <f aca="false">'Table 3 Mapping'!Q22</f>
        <v>3</v>
      </c>
      <c r="C20" s="10" t="n">
        <v>5</v>
      </c>
      <c r="D20" s="10" t="n">
        <v>20</v>
      </c>
      <c r="E20" s="10" t="n">
        <v>9</v>
      </c>
      <c r="F20" s="11" t="n">
        <f aca="false">C20</f>
        <v>5</v>
      </c>
      <c r="G20" s="10" t="n">
        <v>10</v>
      </c>
      <c r="H20" s="11" t="n">
        <f aca="false">D20+E20+G20</f>
        <v>39</v>
      </c>
      <c r="I20" s="11" t="n">
        <f aca="false">C20+F20</f>
        <v>10</v>
      </c>
      <c r="J20" s="11" t="n">
        <f aca="false">B20*H20*I20</f>
        <v>1170</v>
      </c>
      <c r="K20" s="11" t="n">
        <f aca="false">RANK(J20,$J$5:$J$23,0)</f>
        <v>9</v>
      </c>
    </row>
    <row r="21" customFormat="false" ht="15" hidden="false" customHeight="false" outlineLevel="0" collapsed="false">
      <c r="A21" s="4" t="s">
        <v>29</v>
      </c>
      <c r="B21" s="5" t="n">
        <f aca="false">'Table 3 Mapping'!R22</f>
        <v>13</v>
      </c>
      <c r="C21" s="6" t="n">
        <v>10</v>
      </c>
      <c r="D21" s="6" t="n">
        <v>25</v>
      </c>
      <c r="E21" s="6" t="n">
        <v>9</v>
      </c>
      <c r="F21" s="7" t="n">
        <f aca="false">C21</f>
        <v>10</v>
      </c>
      <c r="G21" s="6" t="n">
        <v>9</v>
      </c>
      <c r="H21" s="7" t="n">
        <f aca="false">D21+E21+G21</f>
        <v>43</v>
      </c>
      <c r="I21" s="7" t="n">
        <f aca="false">C21+F21</f>
        <v>20</v>
      </c>
      <c r="J21" s="7" t="n">
        <f aca="false">B21*H21*I21</f>
        <v>11180</v>
      </c>
      <c r="K21" s="7" t="n">
        <f aca="false">RANK(J21,$J$5:$J$23,0)</f>
        <v>1</v>
      </c>
    </row>
    <row r="22" customFormat="false" ht="15" hidden="false" customHeight="false" outlineLevel="0" collapsed="false">
      <c r="A22" s="8" t="s">
        <v>30</v>
      </c>
      <c r="B22" s="9" t="n">
        <f aca="false">'Table 3 Mapping'!S22</f>
        <v>11</v>
      </c>
      <c r="C22" s="10" t="n">
        <v>11</v>
      </c>
      <c r="D22" s="10" t="n">
        <v>13</v>
      </c>
      <c r="E22" s="10" t="n">
        <v>9</v>
      </c>
      <c r="F22" s="11" t="n">
        <f aca="false">C22</f>
        <v>11</v>
      </c>
      <c r="G22" s="10" t="n">
        <v>9</v>
      </c>
      <c r="H22" s="11" t="n">
        <f aca="false">D22+E22+G22</f>
        <v>31</v>
      </c>
      <c r="I22" s="11" t="n">
        <f aca="false">C22+F22</f>
        <v>22</v>
      </c>
      <c r="J22" s="11" t="n">
        <f aca="false">B22*H22*I22</f>
        <v>7502</v>
      </c>
      <c r="K22" s="11" t="n">
        <f aca="false">RANK(J22,$J$5:$J$23,0)</f>
        <v>3</v>
      </c>
    </row>
    <row r="23" customFormat="false" ht="15" hidden="false" customHeight="false" outlineLevel="0" collapsed="false">
      <c r="A23" s="4" t="s">
        <v>31</v>
      </c>
      <c r="B23" s="5" t="n">
        <f aca="false">'Table 3 Mapping'!T22</f>
        <v>4</v>
      </c>
      <c r="C23" s="6" t="n">
        <v>3</v>
      </c>
      <c r="D23" s="6" t="n">
        <v>10</v>
      </c>
      <c r="E23" s="6" t="n">
        <v>10</v>
      </c>
      <c r="F23" s="7" t="n">
        <f aca="false">C23</f>
        <v>3</v>
      </c>
      <c r="G23" s="6" t="n">
        <v>1</v>
      </c>
      <c r="H23" s="7" t="n">
        <f aca="false">D23+E23+G23</f>
        <v>21</v>
      </c>
      <c r="I23" s="7" t="n">
        <f aca="false">C23+F23</f>
        <v>6</v>
      </c>
      <c r="J23" s="7" t="n">
        <f aca="false">B23*H23*I23</f>
        <v>504</v>
      </c>
      <c r="K23" s="7" t="n">
        <f aca="false">RANK(J23,$J$5:$J$23,0)</f>
        <v>14</v>
      </c>
    </row>
    <row r="25" customFormat="false" ht="15" hidden="false" customHeight="false" outlineLevel="0" collapsed="false">
      <c r="A25" s="12" t="s">
        <v>32</v>
      </c>
    </row>
    <row r="26" customFormat="false" ht="15" hidden="false" customHeight="false" outlineLevel="0" collapsed="false">
      <c r="A26" s="13" t="s">
        <v>33</v>
      </c>
    </row>
    <row r="27" customFormat="false" ht="15" hidden="false" customHeight="false" outlineLevel="0" collapsed="false">
      <c r="A27" s="1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0" min="2" style="0" width="9"/>
  </cols>
  <sheetData>
    <row r="1" customFormat="false" ht="15" hidden="false" customHeight="false" outlineLevel="0" collapsed="false">
      <c r="A1" s="14" t="s">
        <v>35</v>
      </c>
    </row>
    <row r="3" customFormat="false" ht="26.85" hidden="false" customHeight="false" outlineLevel="0" collapsed="false">
      <c r="A3" s="15" t="s">
        <v>36</v>
      </c>
      <c r="B3" s="15" t="s">
        <v>37</v>
      </c>
      <c r="C3" s="15" t="s">
        <v>38</v>
      </c>
      <c r="D3" s="15" t="s">
        <v>39</v>
      </c>
      <c r="E3" s="15" t="s">
        <v>40</v>
      </c>
      <c r="F3" s="15" t="s">
        <v>41</v>
      </c>
      <c r="G3" s="15" t="s">
        <v>42</v>
      </c>
      <c r="H3" s="15" t="s">
        <v>43</v>
      </c>
      <c r="I3" s="15" t="s">
        <v>44</v>
      </c>
      <c r="J3" s="15" t="s">
        <v>45</v>
      </c>
      <c r="K3" s="15" t="s">
        <v>46</v>
      </c>
      <c r="L3" s="15" t="s">
        <v>47</v>
      </c>
      <c r="M3" s="15" t="s">
        <v>48</v>
      </c>
      <c r="N3" s="15" t="s">
        <v>49</v>
      </c>
      <c r="O3" s="15" t="s">
        <v>50</v>
      </c>
      <c r="P3" s="15" t="s">
        <v>51</v>
      </c>
      <c r="Q3" s="15" t="s">
        <v>52</v>
      </c>
      <c r="R3" s="15" t="s">
        <v>53</v>
      </c>
      <c r="S3" s="15" t="s">
        <v>54</v>
      </c>
      <c r="T3" s="15" t="s">
        <v>55</v>
      </c>
    </row>
    <row r="4" customFormat="false" ht="15" hidden="false" customHeight="false" outlineLevel="0" collapsed="false">
      <c r="A4" s="7" t="s">
        <v>56</v>
      </c>
      <c r="B4" s="7"/>
      <c r="C4" s="7"/>
      <c r="D4" s="7"/>
      <c r="E4" s="7"/>
      <c r="F4" s="7" t="s">
        <v>57</v>
      </c>
      <c r="G4" s="7" t="s">
        <v>57</v>
      </c>
      <c r="H4" s="7"/>
      <c r="I4" s="7"/>
      <c r="J4" s="7"/>
      <c r="K4" s="7" t="s">
        <v>57</v>
      </c>
      <c r="L4" s="7" t="s">
        <v>57</v>
      </c>
      <c r="M4" s="7"/>
      <c r="N4" s="7"/>
      <c r="O4" s="7"/>
      <c r="P4" s="7"/>
      <c r="Q4" s="7"/>
      <c r="R4" s="7" t="s">
        <v>57</v>
      </c>
      <c r="S4" s="7"/>
      <c r="T4" s="7"/>
    </row>
    <row r="5" customFormat="false" ht="15" hidden="false" customHeight="false" outlineLevel="0" collapsed="false">
      <c r="A5" s="7" t="s">
        <v>58</v>
      </c>
      <c r="B5" s="7"/>
      <c r="C5" s="7"/>
      <c r="D5" s="7"/>
      <c r="E5" s="7"/>
      <c r="F5" s="7" t="s">
        <v>57</v>
      </c>
      <c r="G5" s="7" t="s">
        <v>57</v>
      </c>
      <c r="H5" s="7"/>
      <c r="I5" s="7"/>
      <c r="J5" s="7"/>
      <c r="K5" s="7" t="s">
        <v>57</v>
      </c>
      <c r="L5" s="7" t="s">
        <v>57</v>
      </c>
      <c r="M5" s="7"/>
      <c r="N5" s="7"/>
      <c r="O5" s="7"/>
      <c r="P5" s="7"/>
      <c r="Q5" s="7"/>
      <c r="R5" s="7" t="s">
        <v>57</v>
      </c>
      <c r="S5" s="7"/>
      <c r="T5" s="7"/>
    </row>
    <row r="6" customFormat="false" ht="15" hidden="false" customHeight="false" outlineLevel="0" collapsed="false">
      <c r="A6" s="7" t="s">
        <v>59</v>
      </c>
      <c r="B6" s="7"/>
      <c r="C6" s="7" t="s">
        <v>57</v>
      </c>
      <c r="D6" s="7" t="s">
        <v>57</v>
      </c>
      <c r="E6" s="7" t="s">
        <v>57</v>
      </c>
      <c r="F6" s="7" t="s">
        <v>57</v>
      </c>
      <c r="G6" s="7"/>
      <c r="H6" s="7" t="s">
        <v>57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customFormat="false" ht="15" hidden="false" customHeight="false" outlineLevel="0" collapsed="false">
      <c r="A7" s="7" t="s">
        <v>60</v>
      </c>
      <c r="B7" s="7" t="s">
        <v>57</v>
      </c>
      <c r="C7" s="7"/>
      <c r="D7" s="7"/>
      <c r="E7" s="7"/>
      <c r="F7" s="7" t="s">
        <v>57</v>
      </c>
      <c r="G7" s="7" t="s">
        <v>57</v>
      </c>
      <c r="H7" s="7"/>
      <c r="I7" s="7"/>
      <c r="J7" s="7" t="s">
        <v>57</v>
      </c>
      <c r="K7" s="7"/>
      <c r="L7" s="7"/>
      <c r="M7" s="7" t="s">
        <v>57</v>
      </c>
      <c r="N7" s="7"/>
      <c r="O7" s="7"/>
      <c r="P7" s="7"/>
      <c r="Q7" s="7"/>
      <c r="R7" s="7" t="s">
        <v>57</v>
      </c>
      <c r="S7" s="7" t="s">
        <v>57</v>
      </c>
      <c r="T7" s="7"/>
    </row>
    <row r="8" customFormat="false" ht="15" hidden="false" customHeight="false" outlineLevel="0" collapsed="false">
      <c r="A8" s="7" t="s">
        <v>61</v>
      </c>
      <c r="B8" s="7" t="s">
        <v>57</v>
      </c>
      <c r="C8" s="7"/>
      <c r="D8" s="7"/>
      <c r="E8" s="7"/>
      <c r="F8" s="7"/>
      <c r="G8" s="7" t="s">
        <v>57</v>
      </c>
      <c r="H8" s="7"/>
      <c r="I8" s="7"/>
      <c r="J8" s="7" t="s">
        <v>57</v>
      </c>
      <c r="K8" s="7"/>
      <c r="L8" s="7"/>
      <c r="M8" s="7"/>
      <c r="N8" s="7"/>
      <c r="O8" s="7" t="s">
        <v>57</v>
      </c>
      <c r="P8" s="7"/>
      <c r="Q8" s="7"/>
      <c r="R8" s="7" t="s">
        <v>57</v>
      </c>
      <c r="S8" s="7" t="s">
        <v>57</v>
      </c>
      <c r="T8" s="7"/>
    </row>
    <row r="9" customFormat="false" ht="15" hidden="false" customHeight="false" outlineLevel="0" collapsed="false">
      <c r="A9" s="7" t="s">
        <v>62</v>
      </c>
      <c r="B9" s="7" t="s">
        <v>57</v>
      </c>
      <c r="C9" s="7"/>
      <c r="D9" s="7"/>
      <c r="E9" s="7"/>
      <c r="F9" s="7"/>
      <c r="G9" s="7" t="s">
        <v>57</v>
      </c>
      <c r="H9" s="7"/>
      <c r="I9" s="7"/>
      <c r="J9" s="7" t="s">
        <v>57</v>
      </c>
      <c r="K9" s="7"/>
      <c r="L9" s="7"/>
      <c r="M9" s="7"/>
      <c r="N9" s="7"/>
      <c r="O9" s="7"/>
      <c r="P9" s="7"/>
      <c r="Q9" s="7"/>
      <c r="R9" s="7" t="s">
        <v>57</v>
      </c>
      <c r="S9" s="7" t="s">
        <v>57</v>
      </c>
      <c r="T9" s="7"/>
    </row>
    <row r="10" customFormat="false" ht="15" hidden="false" customHeight="false" outlineLevel="0" collapsed="false">
      <c r="A10" s="7" t="s">
        <v>63</v>
      </c>
      <c r="B10" s="7"/>
      <c r="C10" s="7" t="s">
        <v>57</v>
      </c>
      <c r="D10" s="7" t="s">
        <v>57</v>
      </c>
      <c r="E10" s="7" t="s">
        <v>57</v>
      </c>
      <c r="F10" s="7"/>
      <c r="G10" s="7"/>
      <c r="H10" s="7" t="s">
        <v>57</v>
      </c>
      <c r="I10" s="7"/>
      <c r="J10" s="7"/>
      <c r="K10" s="7"/>
      <c r="L10" s="7"/>
      <c r="M10" s="7"/>
      <c r="N10" s="7"/>
      <c r="O10" s="7" t="s">
        <v>57</v>
      </c>
      <c r="P10" s="7" t="s">
        <v>57</v>
      </c>
      <c r="Q10" s="7"/>
      <c r="R10" s="7"/>
      <c r="S10" s="7"/>
      <c r="T10" s="7"/>
    </row>
    <row r="11" customFormat="false" ht="15" hidden="false" customHeight="false" outlineLevel="0" collapsed="false">
      <c r="A11" s="7" t="s">
        <v>64</v>
      </c>
      <c r="B11" s="7" t="s">
        <v>57</v>
      </c>
      <c r="C11" s="7"/>
      <c r="D11" s="7"/>
      <c r="E11" s="7"/>
      <c r="F11" s="7"/>
      <c r="G11" s="7" t="s">
        <v>57</v>
      </c>
      <c r="H11" s="7"/>
      <c r="I11" s="7"/>
      <c r="J11" s="7" t="s">
        <v>57</v>
      </c>
      <c r="K11" s="7"/>
      <c r="L11" s="7"/>
      <c r="M11" s="7"/>
      <c r="N11" s="7"/>
      <c r="O11" s="7"/>
      <c r="P11" s="7"/>
      <c r="Q11" s="7"/>
      <c r="R11" s="7" t="s">
        <v>57</v>
      </c>
      <c r="S11" s="7" t="s">
        <v>57</v>
      </c>
      <c r="T11" s="7"/>
    </row>
    <row r="12" customFormat="false" ht="15" hidden="false" customHeight="false" outlineLevel="0" collapsed="false">
      <c r="A12" s="7" t="s">
        <v>65</v>
      </c>
      <c r="B12" s="7" t="s">
        <v>57</v>
      </c>
      <c r="C12" s="7"/>
      <c r="D12" s="7"/>
      <c r="E12" s="7"/>
      <c r="F12" s="7"/>
      <c r="G12" s="7" t="s">
        <v>57</v>
      </c>
      <c r="H12" s="7"/>
      <c r="I12" s="7"/>
      <c r="J12" s="7" t="s">
        <v>57</v>
      </c>
      <c r="K12" s="7"/>
      <c r="L12" s="7"/>
      <c r="M12" s="7"/>
      <c r="N12" s="7"/>
      <c r="O12" s="7"/>
      <c r="P12" s="7"/>
      <c r="Q12" s="7"/>
      <c r="R12" s="7" t="s">
        <v>57</v>
      </c>
      <c r="S12" s="7" t="s">
        <v>57</v>
      </c>
      <c r="T12" s="7"/>
    </row>
    <row r="13" customFormat="false" ht="15" hidden="false" customHeight="false" outlineLevel="0" collapsed="false">
      <c r="A13" s="7" t="s">
        <v>66</v>
      </c>
      <c r="B13" s="7" t="s">
        <v>57</v>
      </c>
      <c r="C13" s="7" t="s">
        <v>57</v>
      </c>
      <c r="D13" s="7"/>
      <c r="E13" s="7"/>
      <c r="F13" s="7" t="s">
        <v>57</v>
      </c>
      <c r="G13" s="7" t="s">
        <v>57</v>
      </c>
      <c r="H13" s="7"/>
      <c r="I13" s="7" t="s">
        <v>57</v>
      </c>
      <c r="J13" s="7" t="s">
        <v>57</v>
      </c>
      <c r="K13" s="7"/>
      <c r="L13" s="7"/>
      <c r="M13" s="7"/>
      <c r="N13" s="7"/>
      <c r="O13" s="7"/>
      <c r="P13" s="7"/>
      <c r="Q13" s="7" t="s">
        <v>57</v>
      </c>
      <c r="R13" s="7" t="s">
        <v>57</v>
      </c>
      <c r="S13" s="7" t="s">
        <v>57</v>
      </c>
      <c r="T13" s="7" t="s">
        <v>57</v>
      </c>
    </row>
    <row r="14" customFormat="false" ht="15" hidden="false" customHeight="false" outlineLevel="0" collapsed="false">
      <c r="A14" s="7" t="s">
        <v>67</v>
      </c>
      <c r="B14" s="7" t="s">
        <v>57</v>
      </c>
      <c r="C14" s="7" t="s">
        <v>57</v>
      </c>
      <c r="D14" s="7"/>
      <c r="E14" s="7"/>
      <c r="F14" s="7" t="s">
        <v>57</v>
      </c>
      <c r="G14" s="7" t="s">
        <v>57</v>
      </c>
      <c r="H14" s="7"/>
      <c r="I14" s="7" t="s">
        <v>57</v>
      </c>
      <c r="J14" s="7" t="s">
        <v>57</v>
      </c>
      <c r="K14" s="7"/>
      <c r="L14" s="7"/>
      <c r="M14" s="7"/>
      <c r="N14" s="7"/>
      <c r="O14" s="7"/>
      <c r="P14" s="7"/>
      <c r="Q14" s="7" t="s">
        <v>57</v>
      </c>
      <c r="R14" s="7" t="s">
        <v>57</v>
      </c>
      <c r="S14" s="7" t="s">
        <v>57</v>
      </c>
      <c r="T14" s="7" t="s">
        <v>57</v>
      </c>
    </row>
    <row r="15" customFormat="false" ht="15" hidden="false" customHeight="false" outlineLevel="0" collapsed="false">
      <c r="A15" s="7" t="s">
        <v>68</v>
      </c>
      <c r="B15" s="7"/>
      <c r="C15" s="7" t="s">
        <v>57</v>
      </c>
      <c r="D15" s="7" t="s">
        <v>57</v>
      </c>
      <c r="E15" s="7" t="s">
        <v>57</v>
      </c>
      <c r="F15" s="7"/>
      <c r="G15" s="7"/>
      <c r="H15" s="7"/>
      <c r="I15" s="7" t="s">
        <v>57</v>
      </c>
      <c r="J15" s="7"/>
      <c r="K15" s="7"/>
      <c r="L15" s="7"/>
      <c r="M15" s="7"/>
      <c r="N15" s="7"/>
      <c r="O15" s="7"/>
      <c r="P15" s="7"/>
      <c r="Q15" s="7" t="s">
        <v>57</v>
      </c>
      <c r="R15" s="7"/>
      <c r="S15" s="7"/>
      <c r="T15" s="7" t="s">
        <v>57</v>
      </c>
    </row>
    <row r="16" customFormat="false" ht="15" hidden="false" customHeight="false" outlineLevel="0" collapsed="false">
      <c r="A16" s="7" t="s">
        <v>69</v>
      </c>
      <c r="B16" s="7"/>
      <c r="C16" s="7"/>
      <c r="D16" s="7"/>
      <c r="E16" s="7"/>
      <c r="F16" s="7" t="s">
        <v>57</v>
      </c>
      <c r="G16" s="7" t="s">
        <v>57</v>
      </c>
      <c r="H16" s="7"/>
      <c r="I16" s="7" t="s">
        <v>57</v>
      </c>
      <c r="J16" s="7" t="s">
        <v>57</v>
      </c>
      <c r="K16" s="7"/>
      <c r="L16" s="7"/>
      <c r="M16" s="7"/>
      <c r="N16" s="7"/>
      <c r="O16" s="7"/>
      <c r="P16" s="7"/>
      <c r="Q16" s="7"/>
      <c r="R16" s="7" t="s">
        <v>57</v>
      </c>
      <c r="S16" s="7" t="s">
        <v>57</v>
      </c>
      <c r="T16" s="7" t="s">
        <v>57</v>
      </c>
    </row>
    <row r="17" customFormat="false" ht="15" hidden="false" customHeight="false" outlineLevel="0" collapsed="false">
      <c r="A17" s="7" t="s">
        <v>70</v>
      </c>
      <c r="B17" s="7" t="s">
        <v>57</v>
      </c>
      <c r="C17" s="7"/>
      <c r="D17" s="7" t="s">
        <v>57</v>
      </c>
      <c r="E17" s="7" t="s">
        <v>57</v>
      </c>
      <c r="F17" s="7"/>
      <c r="G17" s="7" t="s">
        <v>57</v>
      </c>
      <c r="H17" s="7" t="s">
        <v>57</v>
      </c>
      <c r="I17" s="7"/>
      <c r="J17" s="7"/>
      <c r="K17" s="7"/>
      <c r="L17" s="7"/>
      <c r="M17" s="7"/>
      <c r="N17" s="7" t="s">
        <v>57</v>
      </c>
      <c r="O17" s="7" t="s">
        <v>57</v>
      </c>
      <c r="P17" s="7"/>
      <c r="Q17" s="7"/>
      <c r="R17" s="7"/>
      <c r="S17" s="7"/>
      <c r="T17" s="7"/>
    </row>
    <row r="18" customFormat="false" ht="15" hidden="false" customHeight="false" outlineLevel="0" collapsed="false">
      <c r="A18" s="7" t="s">
        <v>71</v>
      </c>
      <c r="B18" s="7"/>
      <c r="C18" s="7"/>
      <c r="D18" s="7"/>
      <c r="E18" s="7"/>
      <c r="F18" s="7"/>
      <c r="G18" s="7" t="s">
        <v>57</v>
      </c>
      <c r="H18" s="7"/>
      <c r="I18" s="7"/>
      <c r="J18" s="7"/>
      <c r="K18" s="7"/>
      <c r="L18" s="7"/>
      <c r="M18" s="7"/>
      <c r="N18" s="7" t="s">
        <v>57</v>
      </c>
      <c r="O18" s="7"/>
      <c r="P18" s="7"/>
      <c r="Q18" s="7"/>
      <c r="R18" s="7"/>
      <c r="S18" s="7"/>
      <c r="T18" s="7"/>
    </row>
    <row r="19" customFormat="false" ht="15" hidden="false" customHeight="false" outlineLevel="0" collapsed="false">
      <c r="A19" s="7" t="s">
        <v>72</v>
      </c>
      <c r="B19" s="7" t="s">
        <v>57</v>
      </c>
      <c r="C19" s="7"/>
      <c r="D19" s="7"/>
      <c r="E19" s="7"/>
      <c r="F19" s="7" t="s">
        <v>57</v>
      </c>
      <c r="G19" s="7" t="s">
        <v>57</v>
      </c>
      <c r="H19" s="7"/>
      <c r="I19" s="7"/>
      <c r="J19" s="7" t="s">
        <v>57</v>
      </c>
      <c r="K19" s="7" t="s">
        <v>57</v>
      </c>
      <c r="L19" s="7" t="s">
        <v>57</v>
      </c>
      <c r="M19" s="7" t="s">
        <v>57</v>
      </c>
      <c r="N19" s="7"/>
      <c r="O19" s="7"/>
      <c r="P19" s="7" t="s">
        <v>57</v>
      </c>
      <c r="Q19" s="7"/>
      <c r="R19" s="7" t="s">
        <v>57</v>
      </c>
      <c r="S19" s="7" t="s">
        <v>57</v>
      </c>
      <c r="T19" s="7"/>
    </row>
    <row r="20" customFormat="false" ht="15" hidden="false" customHeight="false" outlineLevel="0" collapsed="false">
      <c r="A20" s="7" t="s">
        <v>73</v>
      </c>
      <c r="B20" s="7" t="s">
        <v>57</v>
      </c>
      <c r="C20" s="7"/>
      <c r="D20" s="7"/>
      <c r="E20" s="7"/>
      <c r="F20" s="7" t="s">
        <v>57</v>
      </c>
      <c r="G20" s="7" t="s">
        <v>57</v>
      </c>
      <c r="H20" s="7"/>
      <c r="I20" s="7"/>
      <c r="J20" s="7" t="s">
        <v>57</v>
      </c>
      <c r="K20" s="7" t="s">
        <v>57</v>
      </c>
      <c r="L20" s="7" t="s">
        <v>57</v>
      </c>
      <c r="M20" s="7" t="s">
        <v>57</v>
      </c>
      <c r="N20" s="7"/>
      <c r="O20" s="7"/>
      <c r="P20" s="7" t="s">
        <v>57</v>
      </c>
      <c r="Q20" s="7"/>
      <c r="R20" s="7" t="s">
        <v>57</v>
      </c>
      <c r="S20" s="7" t="s">
        <v>57</v>
      </c>
      <c r="T20" s="7"/>
    </row>
    <row r="21" customFormat="false" ht="15" hidden="false" customHeight="false" outlineLevel="0" collapsed="false">
      <c r="A21" s="7" t="s">
        <v>74</v>
      </c>
      <c r="B21" s="7" t="s">
        <v>57</v>
      </c>
      <c r="C21" s="7"/>
      <c r="D21" s="7"/>
      <c r="E21" s="7"/>
      <c r="F21" s="7" t="s">
        <v>57</v>
      </c>
      <c r="G21" s="7" t="s">
        <v>57</v>
      </c>
      <c r="H21" s="7"/>
      <c r="I21" s="7"/>
      <c r="J21" s="7" t="s">
        <v>57</v>
      </c>
      <c r="K21" s="7"/>
      <c r="L21" s="7"/>
      <c r="M21" s="7"/>
      <c r="N21" s="7"/>
      <c r="O21" s="7"/>
      <c r="P21" s="7"/>
      <c r="Q21" s="7"/>
      <c r="R21" s="7" t="s">
        <v>57</v>
      </c>
      <c r="S21" s="7" t="s">
        <v>57</v>
      </c>
      <c r="T21" s="7"/>
    </row>
    <row r="22" customFormat="false" ht="15" hidden="false" customHeight="false" outlineLevel="0" collapsed="false">
      <c r="A22" s="16" t="s">
        <v>3</v>
      </c>
      <c r="B22" s="16" t="n">
        <f aca="false">COUNTIF(B4:B21,"✓")</f>
        <v>11</v>
      </c>
      <c r="C22" s="16" t="n">
        <f aca="false">COUNTIF(C4:C21,"✓")</f>
        <v>5</v>
      </c>
      <c r="D22" s="16" t="n">
        <f aca="false">COUNTIF(D4:D21,"✓")</f>
        <v>4</v>
      </c>
      <c r="E22" s="16" t="n">
        <f aca="false">COUNTIF(E4:E21,"✓")</f>
        <v>4</v>
      </c>
      <c r="F22" s="16" t="n">
        <f aca="false">COUNTIF(F4:F21,"✓")</f>
        <v>10</v>
      </c>
      <c r="G22" s="16" t="n">
        <f aca="false">COUNTIF(G4:G21,"✓")</f>
        <v>15</v>
      </c>
      <c r="H22" s="16" t="n">
        <f aca="false">COUNTIF(H4:H21,"✓")</f>
        <v>3</v>
      </c>
      <c r="I22" s="16" t="n">
        <f aca="false">COUNTIF(I4:I21,"✓")</f>
        <v>4</v>
      </c>
      <c r="J22" s="16" t="n">
        <f aca="false">COUNTIF(J4:J21,"✓")</f>
        <v>11</v>
      </c>
      <c r="K22" s="16" t="n">
        <f aca="false">COUNTIF(K4:K21,"✓")</f>
        <v>4</v>
      </c>
      <c r="L22" s="16" t="n">
        <f aca="false">COUNTIF(L4:L21,"✓")</f>
        <v>4</v>
      </c>
      <c r="M22" s="16" t="n">
        <f aca="false">COUNTIF(M4:M21,"✓")</f>
        <v>3</v>
      </c>
      <c r="N22" s="16" t="n">
        <f aca="false">COUNTIF(N4:N21,"✓")</f>
        <v>2</v>
      </c>
      <c r="O22" s="16" t="n">
        <f aca="false">COUNTIF(O4:O21,"✓")</f>
        <v>3</v>
      </c>
      <c r="P22" s="16" t="n">
        <f aca="false">COUNTIF(P4:P21,"✓")</f>
        <v>3</v>
      </c>
      <c r="Q22" s="16" t="n">
        <f aca="false">COUNTIF(Q4:Q21,"✓")</f>
        <v>3</v>
      </c>
      <c r="R22" s="16" t="n">
        <f aca="false">COUNTIF(R4:R21,"✓")</f>
        <v>13</v>
      </c>
      <c r="S22" s="16" t="n">
        <f aca="false">COUNTIF(S4:S21,"✓")</f>
        <v>11</v>
      </c>
      <c r="T22" s="16" t="n">
        <f aca="false">COUNTIF(T4:T21,"✓")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2026-10-28T06:31:34Z</dcterms:created>
  <dc:creator>openpyxl</dc:creator>
  <dc:description/>
  <dc:language>en-US</dc:language>
  <cp:lastModifiedBy/>
  <dcterms:modified xsi:type="dcterms:W3CDTF">2026-10-28T06:31:34Z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